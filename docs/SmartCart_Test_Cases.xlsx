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 Cases" sheetId="2" state="visible" r:id="rId4"/>
  </sheets>
  <definedNames>
    <definedName function="false" hidden="false" localSheetId="0" name="_xlnm.Print_Area" vbProcedure="false">Summary!$A$1:$H$40</definedName>
    <definedName function="false" hidden="true" localSheetId="1" name="_xlnm._FilterDatabase" vbProcedure="false">'Test Cases'!$A$2:$K$53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<sst xmlns="http://schemas.openxmlformats.org/spreadsheetml/2006/main" count="612" uniqueCount="319">
  <si>
    <t xml:space="preserve">SmartCart — Full Stack E-Commerce Web Application</t>
  </si>
  <si>
    <t xml:space="preserve">Software Test Case Document</t>
  </si>
  <si>
    <t xml:space="preserve">Project Name:</t>
  </si>
  <si>
    <t xml:space="preserve">SmartCart – Full Stack E-Commerce Web Application</t>
  </si>
  <si>
    <t xml:space="preserve">Prepared By:</t>
  </si>
  <si>
    <t xml:space="preserve">Darshan Takarkhede</t>
  </si>
  <si>
    <t xml:space="preserve">Submitted For:</t>
  </si>
  <si>
    <t xml:space="preserve">Full Stack Java Development Certification – SPRK Technologies</t>
  </si>
  <si>
    <t xml:space="preserve">Test Environment:</t>
  </si>
  <si>
    <t xml:space="preserve">Production (Vercel + Render + Railway) and local development</t>
  </si>
  <si>
    <t xml:space="preserve">Testing Type:</t>
  </si>
  <si>
    <t xml:space="preserve">Manual functional testing</t>
  </si>
  <si>
    <t xml:space="preserve">Date:</t>
  </si>
  <si>
    <t xml:space="preserve">August 2026</t>
  </si>
  <si>
    <t xml:space="preserve">Test Execution Summary</t>
  </si>
  <si>
    <t xml:space="preserve">Total Test Cases</t>
  </si>
  <si>
    <t xml:space="preserve">Passed</t>
  </si>
  <si>
    <t xml:space="preserve">Failed</t>
  </si>
  <si>
    <t xml:space="preserve">Pass Rate</t>
  </si>
  <si>
    <t xml:space="preserve">Results by Module</t>
  </si>
  <si>
    <t xml:space="preserve">Module</t>
  </si>
  <si>
    <t xml:space="preserve">Total</t>
  </si>
  <si>
    <t xml:space="preserve">Authentication</t>
  </si>
  <si>
    <t xml:space="preserve">Security &amp; Authorization</t>
  </si>
  <si>
    <t xml:space="preserve">Product Management</t>
  </si>
  <si>
    <t xml:space="preserve">Category Management</t>
  </si>
  <si>
    <t xml:space="preserve">Search, Filter &amp; Pagination</t>
  </si>
  <si>
    <t xml:space="preserve">Cart &amp; Wishlist</t>
  </si>
  <si>
    <t xml:space="preserve">Coupons &amp; Checkout</t>
  </si>
  <si>
    <t xml:space="preserve">Orders &amp; Invoicing</t>
  </si>
  <si>
    <t xml:space="preserve">Payments</t>
  </si>
  <si>
    <t xml:space="preserve">Reviews</t>
  </si>
  <si>
    <t xml:space="preserve">Profile Management</t>
  </si>
  <si>
    <t xml:space="preserve">Admin Dashboard &amp; Reports</t>
  </si>
  <si>
    <t xml:space="preserve">Responsive UI</t>
  </si>
  <si>
    <t xml:space="preserve">API Documentation</t>
  </si>
  <si>
    <t xml:space="preserve">SmartCart — Detailed Test Cases</t>
  </si>
  <si>
    <t xml:space="preserve">Test Case ID</t>
  </si>
  <si>
    <t xml:space="preserve">Test Scenario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</si>
  <si>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</si>
  <si>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</si>
  <si>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</si>
  <si>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</si>
  <si>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</si>
  <si>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</si>
  <si>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</si>
  <si>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Remarks</t>
  </si>
  <si>
    <t xml:space="preserve">TC-001</t>
  </si>
  <si>
    <t xml:space="preserve">Register a new customer with valid details</t>
  </si>
  <si>
    <t xml:space="preserve">No account exists for the given email</t>
  </si>
  <si>
    <t xml:space="preserve">1. Go to Register page
2. Enter name, email, password
3. Submit the form</t>
  </si>
  <si>
    <t xml:space="preserve">name=Aarav Sharma; email=aarav.test@example.com; password=Test@123</t>
  </si>
  <si>
    <t xml:space="preserve">Account is created; success message shown; user redirected to Login</t>
  </si>
  <si>
    <t xml:space="preserve">As Expected</t>
  </si>
  <si>
    <t xml:space="preserve">Pass</t>
  </si>
  <si>
    <t xml:space="preserve">High</t>
  </si>
  <si>
    <t xml:space="preserve">-</t>
  </si>
  <si>
    <t xml:space="preserve">TC-002</t>
  </si>
  <si>
    <t xml:space="preserve">Register with an email already in use</t>
  </si>
  <si>
    <t xml:space="preserve">An account already exists with the given email</t>
  </si>
  <si>
    <t xml:space="preserve">1. Go to Register page
2. Enter an already-registered email
3. Submit</t>
  </si>
  <si>
    <t xml:space="preserve">email=aarav.test@example.com (existing)</t>
  </si>
  <si>
    <t xml:space="preserve">400 Bad Request – “User already exists”; no duplicate account created</t>
  </si>
  <si>
    <t xml:space="preserve">TC-003</t>
  </si>
  <si>
    <t xml:space="preserve">Register with an invalid email format</t>
  </si>
  <si>
    <t xml:space="preserve">1. Go to Register page
2. Enter a malformed email
3. Submit</t>
  </si>
  <si>
    <t xml:space="preserve">email=aarav_at_example</t>
  </si>
  <si>
    <t xml:space="preserve">Field-level validation error shown; request rejected before reaching the server</t>
  </si>
  <si>
    <t xml:space="preserve">Medium</t>
  </si>
  <si>
    <t xml:space="preserve">TC-004</t>
  </si>
  <si>
    <t xml:space="preserve">Register with a password shorter than 6 characters</t>
  </si>
  <si>
    <t xml:space="preserve">1. Go to Register page
2. Enter a 4-character password
3. Submit</t>
  </si>
  <si>
    <t xml:space="preserve">password=abcd</t>
  </si>
  <si>
    <t xml:space="preserve">400 Bad Request – “Password must be at least 6 characters”</t>
  </si>
  <si>
    <t xml:space="preserve">TC-005</t>
  </si>
  <si>
    <t xml:space="preserve">Login with correct credentials</t>
  </si>
  <si>
    <t xml:space="preserve">Registered account exists</t>
  </si>
  <si>
    <t xml:space="preserve">1. Go to Login page
2. Enter registered email and correct password
3. Submit</t>
  </si>
  <si>
    <t xml:space="preserve">email=aarav.test@example.com; password=Test@123</t>
  </si>
  <si>
    <t xml:space="preserve">200 OK; signed JWT returned; user redirected to Products page</t>
  </si>
  <si>
    <t xml:space="preserve">TC-006</t>
  </si>
  <si>
    <t xml:space="preserve">Login with an incorrect password</t>
  </si>
  <si>
    <t xml:space="preserve">1. Go to Login page
2. Enter registered email with a wrong password
3. Submit</t>
  </si>
  <si>
    <t xml:space="preserve">email=aarav.test@example.com; password=WrongPass1</t>
  </si>
  <si>
    <t xml:space="preserve">401 Unauthorized – invalid credentials; no token issued</t>
  </si>
  <si>
    <t xml:space="preserve">TC-007</t>
  </si>
  <si>
    <t xml:space="preserve">Call a protected endpoint without a JWT</t>
  </si>
  <si>
    <t xml:space="preserve">User is logged out / no token stored</t>
  </si>
  <si>
    <t xml:space="preserve">1. Call GET /api/cart directly (e.g., via Postman) with no Authorization header</t>
  </si>
  <si>
    <t xml:space="preserve">No Authorization header</t>
  </si>
  <si>
    <t xml:space="preserve">401/403 response; access denied</t>
  </si>
  <si>
    <t xml:space="preserve">TC-008</t>
  </si>
  <si>
    <t xml:space="preserve">Call a protected endpoint with an expired/invalid token</t>
  </si>
  <si>
    <t xml:space="preserve">1. Send a request with a malformed or expired JWT in the Authorization header</t>
  </si>
  <si>
    <t xml:space="preserve">Authorization: Bearer invalid.token.value</t>
  </si>
  <si>
    <t xml:space="preserve">401 Unauthorized; request rejected by the JWT filter before reaching the controller</t>
  </si>
  <si>
    <t xml:space="preserve">TC-009</t>
  </si>
  <si>
    <t xml:space="preserve">Customer account attempts to call an Admin-only endpoint</t>
  </si>
  <si>
    <t xml:space="preserve">Logged in as a CUSTOMER role account</t>
  </si>
  <si>
    <t xml:space="preserve">1. Log in as a customer
2. Call an admin endpoint, e.g. POST /api/products</t>
  </si>
  <si>
    <t xml:space="preserve">Role=CUSTOMER</t>
  </si>
  <si>
    <t xml:space="preserve">403 Forbidden; RBAC (@PreAuthorize) blocks the request</t>
  </si>
  <si>
    <t xml:space="preserve">TC-010</t>
  </si>
  <si>
    <t xml:space="preserve">Verify passwords are stored hashed, not in plain text</t>
  </si>
  <si>
    <t xml:space="preserve">Access to the users table</t>
  </si>
  <si>
    <t xml:space="preserve">1. Register a new account
2. Inspect the password column in the users table</t>
  </si>
  <si>
    <t xml:space="preserve">password=Test@123</t>
  </si>
  <si>
    <t xml:space="preserve">Stored value is a BCrypt hash (e.g., starting with $2a$/$2b$), never the plaintext password</t>
  </si>
  <si>
    <t xml:space="preserve">TC-011</t>
  </si>
  <si>
    <t xml:space="preserve">Cross-origin request from an unregistered origin</t>
  </si>
  <si>
    <t xml:space="preserve">1. Attempt an API call from an origin other than the configured frontend URLs</t>
  </si>
  <si>
    <t xml:space="preserve">Origin: https://random-site.example.com</t>
  </si>
  <si>
    <t xml:space="preserve">Request blocked by CORS policy</t>
  </si>
  <si>
    <t xml:space="preserve">TC-012</t>
  </si>
  <si>
    <t xml:space="preserve">Admin adds a new product with an image upload</t>
  </si>
  <si>
    <t xml:space="preserve">Logged in as ADMIN</t>
  </si>
  <si>
    <t xml:space="preserve">1. Go to Add Product
2. Fill in name, description, price, stock, category
3. Upload an image
4. Submit</t>
  </si>
  <si>
    <t xml:space="preserve">name=Wireless Mouse; price=999; stock=50; category=Electronics; image=mouse.jpg</t>
  </si>
  <si>
    <t xml:space="preserve">Product created; image uploaded to Cloudinary; secure URL stored; product visible in catalogue</t>
  </si>
  <si>
    <t xml:space="preserve">TC-013</t>
  </si>
  <si>
    <t xml:space="preserve">Admin updates an existing product's details</t>
  </si>
  <si>
    <t xml:space="preserve">Product exists; logged in as ADMIN</t>
  </si>
  <si>
    <t xml:space="preserve">1. Open an existing product in Edit Product
2. Change price and description
3. Save</t>
  </si>
  <si>
    <t xml:space="preserve">price: 999 -&gt; 899</t>
  </si>
  <si>
    <t xml:space="preserve">Product updated; new price reflected immediately on the storefront</t>
  </si>
  <si>
    <t xml:space="preserve">TC-014</t>
  </si>
  <si>
    <t xml:space="preserve">Admin deletes a product</t>
  </si>
  <si>
    <t xml:space="preserve">1. Open Products Management
2. Delete a selected product
3. Confirm deletion</t>
  </si>
  <si>
    <t xml:space="preserve">Product removed from catalogue and no longer returned by GET /api/products</t>
  </si>
  <si>
    <t xml:space="preserve">TC-015</t>
  </si>
  <si>
    <t xml:space="preserve">Admin updates stock quantity for a product</t>
  </si>
  <si>
    <t xml:space="preserve">1. Open Products Management
2. Update stock value for a product
3. Save</t>
  </si>
  <si>
    <t xml:space="preserve">stock: 50 -&gt; 4</t>
  </si>
  <si>
    <t xml:space="preserve">Stock value updated; product now appears under low-stock alerts</t>
  </si>
  <si>
    <t xml:space="preserve">TC-016</t>
  </si>
  <si>
    <t xml:space="preserve">Non-admin (customer) attempts to add/update/delete a product</t>
  </si>
  <si>
    <t xml:space="preserve">Logged in as CUSTOMER</t>
  </si>
  <si>
    <t xml:space="preserve">1. Log in as a customer
2. Attempt to call POST/PUT/DELETE /api/products</t>
  </si>
  <si>
    <t xml:space="preserve">403 Forbidden on every attempt</t>
  </si>
  <si>
    <t xml:space="preserve">TC-017</t>
  </si>
  <si>
    <t xml:space="preserve">Add a product with a negative price or stock value</t>
  </si>
  <si>
    <t xml:space="preserve">1. Go to Add Product
2. Enter a negative value for price or stock
3. Submit</t>
  </si>
  <si>
    <t xml:space="preserve">price=-100</t>
  </si>
  <si>
    <t xml:space="preserve">Validation error returned; product is not created</t>
  </si>
  <si>
    <t xml:space="preserve">TC-018</t>
  </si>
  <si>
    <t xml:space="preserve">Low-stock alert appears once stock falls below threshold</t>
  </si>
  <si>
    <t xml:space="preserve">A product's stock is reduced to a low value</t>
  </si>
  <si>
    <t xml:space="preserve">1. Reduce a product's stock below the low-stock threshold
2. Open the Admin Dashboard</t>
  </si>
  <si>
    <t xml:space="preserve">stock=3</t>
  </si>
  <si>
    <t xml:space="preserve">“Low Stock Alert” panel lists the product with its remaining quantity</t>
  </si>
  <si>
    <t xml:space="preserve">TC-019</t>
  </si>
  <si>
    <t xml:space="preserve">Admin adds a new product category</t>
  </si>
  <si>
    <t xml:space="preserve">1. Go to Categories Management
2. Enter a new category name
3. Save</t>
  </si>
  <si>
    <t xml:space="preserve">name=Home Appliances</t>
  </si>
  <si>
    <t xml:space="preserve">Category created and available when adding/editing products</t>
  </si>
  <si>
    <t xml:space="preserve">TC-020</t>
  </si>
  <si>
    <t xml:space="preserve">Admin updates and deletes a category</t>
  </si>
  <si>
    <t xml:space="preserve">Category exists; logged in as ADMIN</t>
  </si>
  <si>
    <t xml:space="preserve">1. Edit an existing category's name and save
2. Delete a category no longer in use</t>
  </si>
  <si>
    <t xml:space="preserve">name: Home Appliances -&gt; Appliances</t>
  </si>
  <si>
    <t xml:space="preserve">Category updated successfully; deleted category no longer listed</t>
  </si>
  <si>
    <t xml:space="preserve">Low</t>
  </si>
  <si>
    <t xml:space="preserve">TC-021</t>
  </si>
  <si>
    <t xml:space="preserve">Browse the product catalogue</t>
  </si>
  <si>
    <t xml:space="preserve">Products exist in the database</t>
  </si>
  <si>
    <t xml:space="preserve">1. Open the Products page</t>
  </si>
  <si>
    <t xml:space="preserve">Product grid loads with name, image, price, and category for each item</t>
  </si>
  <si>
    <t xml:space="preserve">TC-022</t>
  </si>
  <si>
    <t xml:space="preserve">Search products by keyword</t>
  </si>
  <si>
    <t xml:space="preserve">Products exist</t>
  </si>
  <si>
    <t xml:space="preserve">1. Enter a keyword in the search box
2. Observe results</t>
  </si>
  <si>
    <t xml:space="preserve">keyword=Mouse</t>
  </si>
  <si>
    <t xml:space="preserve">Only products matching the keyword are displayed</t>
  </si>
  <si>
    <t xml:space="preserve">TC-023</t>
  </si>
  <si>
    <t xml:space="preserve">Filter products by category</t>
  </si>
  <si>
    <t xml:space="preserve">Multiple categories exist</t>
  </si>
  <si>
    <t xml:space="preserve">1. Select a category from the filter dropdown</t>
  </si>
  <si>
    <t xml:space="preserve">category=Electronics</t>
  </si>
  <si>
    <t xml:space="preserve">Only products belonging to the selected category are shown</t>
  </si>
  <si>
    <t xml:space="preserve">TC-024</t>
  </si>
  <si>
    <t xml:space="preserve">Sort products by price (ascending and descending)</t>
  </si>
  <si>
    <t xml:space="preserve">1. Select “Price: Low to High”
2. Select “Price: High to Low”</t>
  </si>
  <si>
    <t xml:space="preserve">Product list re-orders correctly for both sort directions</t>
  </si>
  <si>
    <t xml:space="preserve">TC-025</t>
  </si>
  <si>
    <t xml:space="preserve">Paginate through the product listing</t>
  </si>
  <si>
    <t xml:space="preserve">More products exist than fit on one page</t>
  </si>
  <si>
    <t xml:space="preserve">1. Scroll to pagination controls
2. Navigate to page 2</t>
  </si>
  <si>
    <t xml:space="preserve">Next set of products loads correctly; page indicator updates</t>
  </si>
  <si>
    <t xml:space="preserve">TC-026</t>
  </si>
  <si>
    <t xml:space="preserve">Add a product to the cart</t>
  </si>
  <si>
    <t xml:space="preserve">1. Open a product
2. Click “Add to Cart”</t>
  </si>
  <si>
    <t xml:space="preserve">productId=101; quantity=1</t>
  </si>
  <si>
    <t xml:space="preserve">Cart item created with quantity 1; cart icon count updates</t>
  </si>
  <si>
    <t xml:space="preserve">TC-027</t>
  </si>
  <si>
    <t xml:space="preserve">Update the quantity of a cart item</t>
  </si>
  <si>
    <t xml:space="preserve">Item already in cart</t>
  </si>
  <si>
    <t xml:space="preserve">1. Open Cart page
2. Increase/decrease quantity using the stepper</t>
  </si>
  <si>
    <t xml:space="preserve">quantity: 1 -&gt; 3</t>
  </si>
  <si>
    <t xml:space="preserve">Quantity and line total update immediately; order summary recalculates</t>
  </si>
  <si>
    <t xml:space="preserve">TC-028</t>
  </si>
  <si>
    <t xml:space="preserve">Remove an item from the cart</t>
  </si>
  <si>
    <t xml:space="preserve">1. Open Cart page
2. Click Remove on an item</t>
  </si>
  <si>
    <t xml:space="preserve">Item removed from cart; total recalculated</t>
  </si>
  <si>
    <t xml:space="preserve">TC-029</t>
  </si>
  <si>
    <t xml:space="preserve">Add a product to the wishlist</t>
  </si>
  <si>
    <t xml:space="preserve">1. Open a product
2. Click the wishlist/heart icon</t>
  </si>
  <si>
    <t xml:space="preserve">productId=102</t>
  </si>
  <si>
    <t xml:space="preserve">Product saved to wishlist independent of cart contents</t>
  </si>
  <si>
    <t xml:space="preserve">TC-030</t>
  </si>
  <si>
    <t xml:space="preserve">Remove a product from the wishlist</t>
  </si>
  <si>
    <t xml:space="preserve">Item already in wishlist</t>
  </si>
  <si>
    <t xml:space="preserve">1. Open Wishlist page
2. Remove an item</t>
  </si>
  <si>
    <t xml:space="preserve">Item removed from wishlist immediately</t>
  </si>
  <si>
    <t xml:space="preserve">TC-031</t>
  </si>
  <si>
    <t xml:space="preserve">Apply a valid, active coupon at checkout</t>
  </si>
  <si>
    <t xml:space="preserve">Cart has items; an active coupon exists</t>
  </si>
  <si>
    <t xml:space="preserve">1. Go to checkout
2. Enter a valid coupon code
3. Apply</t>
  </si>
  <si>
    <t xml:space="preserve">coupon=WELCOME10</t>
  </si>
  <si>
    <t xml:space="preserve">Discount percentage applied; order total reduced accordingly before payment</t>
  </si>
  <si>
    <t xml:space="preserve">TC-032</t>
  </si>
  <si>
    <t xml:space="preserve">Apply an expired or inactive coupon</t>
  </si>
  <si>
    <t xml:space="preserve">Cart has items</t>
  </si>
  <si>
    <t xml:space="preserve">1. Enter an inactive/expired coupon code at checkout</t>
  </si>
  <si>
    <t xml:space="preserve">coupon=EXPIRED50</t>
  </si>
  <si>
    <t xml:space="preserve">400 Bad Request – “Coupon Expired”; no discount applied</t>
  </si>
  <si>
    <t xml:space="preserve">TC-033</t>
  </si>
  <si>
    <t xml:space="preserve">Attempt checkout with an empty cart</t>
  </si>
  <si>
    <t xml:space="preserve">Cart is empty</t>
  </si>
  <si>
    <t xml:space="preserve">1. Navigate directly to checkout with no items in cart</t>
  </si>
  <si>
    <t xml:space="preserve">400 Bad Request – “Cart is Empty”; order is not created</t>
  </si>
  <si>
    <t xml:space="preserve">TC-034</t>
  </si>
  <si>
    <t xml:space="preserve">Successful checkout converts cart into an order</t>
  </si>
  <si>
    <t xml:space="preserve">Cart has valid items and sufficient stock</t>
  </si>
  <si>
    <t xml:space="preserve">1. Complete checkout
2. Verify order and stock levels</t>
  </si>
  <si>
    <t xml:space="preserve">Order and order-items created; product stock decremented; cart cleared; confirmation email sent</t>
  </si>
  <si>
    <t xml:space="preserve">TC-035</t>
  </si>
  <si>
    <t xml:space="preserve">View order history</t>
  </si>
  <si>
    <t xml:space="preserve">Customer has placed at least one order</t>
  </si>
  <si>
    <t xml:space="preserve">1. Open the Orders page</t>
  </si>
  <si>
    <t xml:space="preserve">All past orders listed with status, date, and total</t>
  </si>
  <si>
    <t xml:space="preserve">TC-036</t>
  </si>
  <si>
    <t xml:space="preserve">Cancel a recently placed, eligible order</t>
  </si>
  <si>
    <t xml:space="preserve">Order exists and is eligible for cancellation</t>
  </si>
  <si>
    <t xml:space="preserve">1. Open Orders page
2. Click Cancel on an eligible order</t>
  </si>
  <si>
    <t xml:space="preserve">Order status updates to Cancelled and reflects immediately in order history</t>
  </si>
  <si>
    <t xml:space="preserve">TC-037</t>
  </si>
  <si>
    <t xml:space="preserve">Download the PDF invoice for a completed order</t>
  </si>
  <si>
    <t xml:space="preserve">Order exists</t>
  </si>
  <si>
    <t xml:space="preserve">1. Open Orders page
2. Click “Download Invoice” on an order</t>
  </si>
  <si>
    <t xml:space="preserve">A correctly formatted PDF invoice downloads with order and item details</t>
  </si>
  <si>
    <t xml:space="preserve">TC-038</t>
  </si>
  <si>
    <t xml:space="preserve">Admin updates an order's status</t>
  </si>
  <si>
    <t xml:space="preserve">Order exists; logged in as ADMIN</t>
  </si>
  <si>
    <t xml:space="preserve">1. Open Manage Orders
2. Change order status
3. Save</t>
  </si>
  <si>
    <t xml:space="preserve">status: Pending -&gt; Shipped</t>
  </si>
  <si>
    <t xml:space="preserve">Status updates on the admin side and is visible to the customer on their Orders page</t>
  </si>
  <si>
    <t xml:space="preserve">TC-039</t>
  </si>
  <si>
    <t xml:space="preserve">Simulate a payment attempt that succeeds</t>
  </si>
  <si>
    <t xml:space="preserve">Order created and pending payment</t>
  </si>
  <si>
    <t xml:space="preserve">1. Trigger the payment step for an order
2. Observe result over several attempts</t>
  </si>
  <si>
    <t xml:space="preserve">Payment recorded as SUCCESS; order payment status updates to match</t>
  </si>
  <si>
    <t xml:space="preserve">TC-040</t>
  </si>
  <si>
    <t xml:space="preserve">Simulate a payment attempt that fails</t>
  </si>
  <si>
    <t xml:space="preserve">Payment recorded as FAILED; order payment status reflects the failure; user is notified</t>
  </si>
  <si>
    <t xml:space="preserve">TC-041</t>
  </si>
  <si>
    <t xml:space="preserve">Submit a rating and review for a product</t>
  </si>
  <si>
    <t xml:space="preserve">Logged in as CUSTOMER; product exists</t>
  </si>
  <si>
    <t xml:space="preserve">1. Open a product's details
2. Enter a star rating and comment
3. Submit</t>
  </si>
  <si>
    <t xml:space="preserve">rating=5; comment=“Great quality and fast delivery”</t>
  </si>
  <si>
    <t xml:space="preserve">Review saved and immediately visible on the product's details page</t>
  </si>
  <si>
    <t xml:space="preserve">TC-042</t>
  </si>
  <si>
    <t xml:space="preserve">View reviews on a product's details page</t>
  </si>
  <si>
    <t xml:space="preserve">Reviews exist for a product</t>
  </si>
  <si>
    <t xml:space="preserve">1. Open the product details modal</t>
  </si>
  <si>
    <t xml:space="preserve">All existing reviews and ratings for the product are listed</t>
  </si>
  <si>
    <t xml:space="preserve">TC-043</t>
  </si>
  <si>
    <t xml:space="preserve">Update profile information</t>
  </si>
  <si>
    <t xml:space="preserve">1. Open Profile page
2. Edit name/contact details
3. Save</t>
  </si>
  <si>
    <t xml:space="preserve">name: Aarav Sharma -&gt; Aarav K. Sharma</t>
  </si>
  <si>
    <t xml:space="preserve">Profile updated; new details persist after page refresh</t>
  </si>
  <si>
    <t xml:space="preserve">TC-044</t>
  </si>
  <si>
    <t xml:space="preserve">Change account password</t>
  </si>
  <si>
    <t xml:space="preserve">1. Open Profile page
2. Enter current and new password
3. Save</t>
  </si>
  <si>
    <t xml:space="preserve">newPassword=NewTest@456</t>
  </si>
  <si>
    <t xml:space="preserve">Password updated; login succeeds with the new password on next attempt</t>
  </si>
  <si>
    <t xml:space="preserve">TC-045</t>
  </si>
  <si>
    <t xml:space="preserve">Dashboard metrics display correctly</t>
  </si>
  <si>
    <t xml:space="preserve">Logged in as ADMIN; orders/products/users exist</t>
  </si>
  <si>
    <t xml:space="preserve">1. Open Admin Dashboard</t>
  </si>
  <si>
    <t xml:space="preserve">Total users, products, orders, and revenue match the underlying data</t>
  </si>
  <si>
    <t xml:space="preserve">TC-046</t>
  </si>
  <si>
    <t xml:space="preserve">Sales report shows correct revenue and average order value</t>
  </si>
  <si>
    <t xml:space="preserve">Orders exist</t>
  </si>
  <si>
    <t xml:space="preserve">1. Open Sales Reports page</t>
  </si>
  <si>
    <t xml:space="preserve">Total revenue, average order value, and highest order value are calculated correctly</t>
  </si>
  <si>
    <t xml:space="preserve">TC-047</t>
  </si>
  <si>
    <t xml:space="preserve">Admin manages registered users (role change / delete)</t>
  </si>
  <si>
    <t xml:space="preserve">Logged in as ADMIN; users exist</t>
  </si>
  <si>
    <t xml:space="preserve">1. Open Users Management
2. Change a user's role or delete an account</t>
  </si>
  <si>
    <t xml:space="preserve">Role/deletion change is applied and reflected immediately in the users list</t>
  </si>
  <si>
    <t xml:space="preserve">TC-048</t>
  </si>
  <si>
    <t xml:space="preserve">Storefront renders correctly on a mobile viewport</t>
  </si>
  <si>
    <t xml:space="preserve">1. Open the deployed app on a mobile-width viewport (e.g., 375px)</t>
  </si>
  <si>
    <t xml:space="preserve">viewport=375x812</t>
  </si>
  <si>
    <t xml:space="preserve">Layout reflows to a single column; navigation collapses appropriately; no horizontal overflow</t>
  </si>
  <si>
    <t xml:space="preserve">TC-049</t>
  </si>
  <si>
    <t xml:space="preserve">Storefront renders correctly on tablet and desktop viewports</t>
  </si>
  <si>
    <t xml:space="preserve">1. Open the app at tablet (768px) and desktop (1440px) widths</t>
  </si>
  <si>
    <t xml:space="preserve">viewport=768x1024 / 1440x900</t>
  </si>
  <si>
    <t xml:space="preserve">Grid layout adjusts column count appropriately at each breakpoint</t>
  </si>
  <si>
    <t xml:space="preserve">TC-050</t>
  </si>
  <si>
    <t xml:space="preserve">Toast and confirmation dialogs appear for key actions</t>
  </si>
  <si>
    <t xml:space="preserve">1. Add an item to cart
2. Delete a product/category as admin</t>
  </si>
  <si>
    <t xml:space="preserve">A toast notification confirms success; a confirmation dialog guards destructive actions</t>
  </si>
  <si>
    <t xml:space="preserve">TC-051</t>
  </si>
  <si>
    <t xml:space="preserve">Swagger UI loads and lists all documented endpoints</t>
  </si>
  <si>
    <t xml:space="preserve">Backend is running</t>
  </si>
  <si>
    <t xml:space="preserve">1. Navigate to /swagger-ui/index.html on the deployed backend</t>
  </si>
  <si>
    <t xml:space="preserve">Interactive API documentation loads, listing all 15 controllers and their endpoints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</si>
</sst>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5205B"/>
      <name val="Calibri"/>
      <family val="0"/>
      <charset val="1"/>
    </font>
    <font>
      <i val="true"/>
      <sz val="13"/>
      <color rgb="FF0E7C86"/>
      <name val="Calibri"/>
      <family val="0"/>
      <charset val="1"/>
    </font>
    <font>
      <b val="true"/>
      <sz val="11"/>
      <color rgb="FF35205B"/>
      <name val="Calibri"/>
      <family val="0"/>
      <charset val="1"/>
    </font>
    <font>
      <sz val="11"/>
      <name val="Calibri"/>
      <family val="0"/>
      <charset val="1"/>
    </font>
    <font>
      <b val="true"/>
      <sz val="13"/>
      <color rgb="FF35205B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35205B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E5C2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B2E7C"/>
        <bgColor rgb="FF35205B"/>
      </patternFill>
    </fill>
    <fill>
      <patternFill patternType="solid">
        <fgColor rgb="FFEFE9F8"/>
        <bgColor rgb="FFF5F2FA"/>
      </patternFill>
    </fill>
    <fill>
      <patternFill patternType="solid">
        <fgColor rgb="FFD9F2DA"/>
        <bgColor rgb="FFEFE9F8"/>
      </patternFill>
    </fill>
    <fill>
      <patternFill patternType="solid">
        <fgColor rgb="FFF5F2FA"/>
        <bgColor rgb="FFEFE9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AFCB"/>
      </left>
      <right style="thin">
        <color rgb="FFB9AFCB"/>
      </right>
      <top style="thin">
        <color rgb="FFB9AFCB"/>
      </top>
      <bottom style="thin">
        <color rgb="FFB9AF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4B2E7C"/>
          <bgColor rgb="FF000000"/>
        </patternFill>
      </fill>
    </dxf>
    <dxf>
      <fill>
        <patternFill patternType="solid">
          <fgColor rgb="FFF5F2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2DA"/>
          <bgColor rgb="FF000000"/>
        </patternFill>
      </fill>
    </dxf>
    <dxf>
      <fill>
        <patternFill patternType="solid">
          <fgColor rgb="FF1E5C2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5C20"/>
      <rgbColor rgb="FF000080"/>
      <rgbColor rgb="FF808000"/>
      <rgbColor rgb="FF800080"/>
      <rgbColor rgb="FF0E7C86"/>
      <rgbColor rgb="FFB9AFCB"/>
      <rgbColor rgb="FF808080"/>
      <rgbColor rgb="FF9999FF"/>
      <rgbColor rgb="FF993366"/>
      <rgbColor rgb="FFF5F2FA"/>
      <rgbColor rgb="FFEFE9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B2E7C"/>
      <rgbColor rgb="FF3520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34"/>
    <col collapsed="false" customWidth="true" hidden="false" outlineLevel="0" max="3" min="3" style="1" width="4"/>
    <col collapsed="false" customWidth="true" hidden="false" outlineLevel="0" max="4" min="4" style="1" width="20"/>
    <col collapsed="false" customWidth="true" hidden="false" outlineLevel="0" max="8" min="5" style="1" width="14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1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4" t="s">
        <v>8</v>
      </c>
      <c r="B7" s="5" t="s">
        <v>9</v>
      </c>
    </row>
    <row r="8" customFormat="false" ht="15" hidden="false" customHeight="true" outlineLevel="0" collapsed="false">
      <c r="A8" s="4" t="s">
        <v>10</v>
      </c>
      <c r="B8" s="5" t="s">
        <v>11</v>
      </c>
    </row>
    <row r="9" customFormat="false" ht="15" hidden="false" customHeight="true" outlineLevel="0" collapsed="false">
      <c r="A9" s="4" t="s">
        <v>12</v>
      </c>
      <c r="B9" s="5" t="s">
        <v>13</v>
      </c>
    </row>
    <row r="11" customFormat="false" ht="15.75" hidden="false" customHeight="true" outlineLevel="0" collapsed="false">
      <c r="A11" s="6" t="s">
        <v>14</v>
      </c>
    </row>
    <row r="12" customFormat="false" ht="15" hidden="false" customHeight="true" outlineLevel="0" collapsed="false">
      <c r="A12" s="7" t="s">
        <v>15</v>
      </c>
      <c r="B12" s="7" t="s">
        <v>16</v>
      </c>
      <c r="C12" s="7" t="s">
        <v>17</v>
      </c>
      <c r="D12" s="7" t="s">
        <v>18</v>
      </c>
    </row>
    <row r="13" customFormat="false" ht="17.25" hidden="false" customHeight="true" outlineLevel="0" collapsed="false">
      <c r="A13" s="8" t="n">
        <f aca="false">COUNTA('Test Cases'!A3:A1000)</f>
        <v>51</v>
      </c>
      <c r="B13" s="8" t="n">
        <f aca="false">COUNTIF('Test Cases'!I3:I1000,"Pass")</f>
        <v>51</v>
      </c>
      <c r="C13" s="8" t="n">
        <f aca="false">COUNTIF('Test Cases'!I3:I1000,"Fail")</f>
        <v>0</v>
      </c>
      <c r="D13" s="9" t="n">
        <f aca="false">IFERROR(B13/A13,0)</f>
        <v>1</v>
      </c>
    </row>
    <row r="16" customFormat="false" ht="15.75" hidden="false" customHeight="true" outlineLevel="0" collapsed="false">
      <c r="A16" s="6" t="s">
        <v>19</v>
      </c>
    </row>
    <row r="17" customFormat="false" ht="15" hidden="false" customHeight="true" outlineLevel="0" collapsed="false">
      <c r="A17" s="7" t="s">
        <v>20</v>
      </c>
      <c r="B17" s="7" t="s">
        <v>21</v>
      </c>
      <c r="C17" s="7" t="s">
        <v>16</v>
      </c>
      <c r="D17" s="7" t="s">
        <v>17</v>
      </c>
      <c r="E17" s="7" t="s">
        <v>18</v>
      </c>
    </row>
    <row r="18" customFormat="false" ht="15" hidden="false" customHeight="true" outlineLevel="0" collapsed="false">
      <c r="A18" s="10" t="s">
        <v>22</v>
      </c>
      <c r="B18" s="11" t="n">
        <f aca="false">COUNTIF('Test Cases'!B3:B1000,A18)</f>
        <v>6</v>
      </c>
      <c r="C18" s="11" t="n">
        <f aca="false">COUNTIFS('Test Cases'!B3:B1000,A18,'Test Cases'!I3:I1000,"Pass")</f>
        <v>6</v>
      </c>
      <c r="D18" s="11" t="n">
        <f aca="false">COUNTIFS('Test Cases'!B3:B1000,A18,'Test Cases'!I3:I1000,"Fail")</f>
        <v>0</v>
      </c>
      <c r="E18" s="12" t="n">
        <f aca="false">IFERROR(C18/B18,0)</f>
        <v>1</v>
      </c>
    </row>
    <row r="19" customFormat="false" ht="15" hidden="false" customHeight="true" outlineLevel="0" collapsed="false">
      <c r="A19" s="13" t="s">
        <v>23</v>
      </c>
      <c r="B19" s="14" t="n">
        <f aca="false">COUNTIF('Test Cases'!B3:B1000,A19)</f>
        <v>5</v>
      </c>
      <c r="C19" s="14" t="n">
        <f aca="false">COUNTIFS('Test Cases'!B3:B1000,A19,'Test Cases'!I3:I1000,"Pass")</f>
        <v>5</v>
      </c>
      <c r="D19" s="14" t="n">
        <f aca="false">COUNTIFS('Test Cases'!B3:B1000,A19,'Test Cases'!I3:I1000,"Fail")</f>
        <v>0</v>
      </c>
      <c r="E19" s="15" t="n">
        <f aca="false">IFERROR(C19/B19,0)</f>
        <v>1</v>
      </c>
    </row>
    <row r="20" customFormat="false" ht="15" hidden="false" customHeight="true" outlineLevel="0" collapsed="false">
      <c r="A20" s="10" t="s">
        <v>24</v>
      </c>
      <c r="B20" s="11" t="n">
        <f aca="false">COUNTIF('Test Cases'!B3:B1000,A20)</f>
        <v>7</v>
      </c>
      <c r="C20" s="11" t="n">
        <f aca="false">COUNTIFS('Test Cases'!B3:B1000,A20,'Test Cases'!I3:I1000,"Pass")</f>
        <v>7</v>
      </c>
      <c r="D20" s="11" t="n">
        <f aca="false">COUNTIFS('Test Cases'!B3:B1000,A20,'Test Cases'!I3:I1000,"Fail")</f>
        <v>0</v>
      </c>
      <c r="E20" s="12" t="n">
        <f aca="false">IFERROR(C20/B20,0)</f>
        <v>1</v>
      </c>
    </row>
    <row r="21" customFormat="false" ht="15" hidden="false" customHeight="true" outlineLevel="0" collapsed="false">
      <c r="A21" s="13" t="s">
        <v>25</v>
      </c>
      <c r="B21" s="14" t="n">
        <f aca="false">COUNTIF('Test Cases'!B3:B1000,A21)</f>
        <v>2</v>
      </c>
      <c r="C21" s="14" t="n">
        <f aca="false">COUNTIFS('Test Cases'!B3:B1000,A21,'Test Cases'!I3:I1000,"Pass")</f>
        <v>2</v>
      </c>
      <c r="D21" s="14" t="n">
        <f aca="false">COUNTIFS('Test Cases'!B3:B1000,A21,'Test Cases'!I3:I1000,"Fail")</f>
        <v>0</v>
      </c>
      <c r="E21" s="15" t="n">
        <f aca="false">IFERROR(C21/B21,0)</f>
        <v>1</v>
      </c>
    </row>
    <row r="22" customFormat="false" ht="15" hidden="false" customHeight="true" outlineLevel="0" collapsed="false">
      <c r="A22" s="10" t="s">
        <v>26</v>
      </c>
      <c r="B22" s="11" t="n">
        <f aca="false">COUNTIF('Test Cases'!B3:B1000,A22)</f>
        <v>5</v>
      </c>
      <c r="C22" s="11" t="n">
        <f aca="false">COUNTIFS('Test Cases'!B3:B1000,A22,'Test Cases'!I3:I1000,"Pass")</f>
        <v>5</v>
      </c>
      <c r="D22" s="11" t="n">
        <f aca="false">COUNTIFS('Test Cases'!B3:B1000,A22,'Test Cases'!I3:I1000,"Fail")</f>
        <v>0</v>
      </c>
      <c r="E22" s="12" t="n">
        <f aca="false">IFERROR(C22/B22,0)</f>
        <v>1</v>
      </c>
    </row>
    <row r="23" customFormat="false" ht="15" hidden="false" customHeight="true" outlineLevel="0" collapsed="false">
      <c r="A23" s="13" t="s">
        <v>27</v>
      </c>
      <c r="B23" s="14" t="n">
        <f aca="false">COUNTIF('Test Cases'!B3:B1000,A23)</f>
        <v>5</v>
      </c>
      <c r="C23" s="14" t="n">
        <f aca="false">COUNTIFS('Test Cases'!B3:B1000,A23,'Test Cases'!I3:I1000,"Pass")</f>
        <v>5</v>
      </c>
      <c r="D23" s="14" t="n">
        <f aca="false">COUNTIFS('Test Cases'!B3:B1000,A23,'Test Cases'!I3:I1000,"Fail")</f>
        <v>0</v>
      </c>
      <c r="E23" s="15" t="n">
        <f aca="false">IFERROR(C23/B23,0)</f>
        <v>1</v>
      </c>
    </row>
    <row r="24" customFormat="false" ht="15" hidden="false" customHeight="true" outlineLevel="0" collapsed="false">
      <c r="A24" s="10" t="s">
        <v>28</v>
      </c>
      <c r="B24" s="11" t="n">
        <f aca="false">COUNTIF('Test Cases'!B3:B1000,A24)</f>
        <v>4</v>
      </c>
      <c r="C24" s="11" t="n">
        <f aca="false">COUNTIFS('Test Cases'!B3:B1000,A24,'Test Cases'!I3:I1000,"Pass")</f>
        <v>4</v>
      </c>
      <c r="D24" s="11" t="n">
        <f aca="false">COUNTIFS('Test Cases'!B3:B1000,A24,'Test Cases'!I3:I1000,"Fail")</f>
        <v>0</v>
      </c>
      <c r="E24" s="12" t="n">
        <f aca="false">IFERROR(C24/B24,0)</f>
        <v>1</v>
      </c>
    </row>
    <row r="25" customFormat="false" ht="15" hidden="false" customHeight="true" outlineLevel="0" collapsed="false">
      <c r="A25" s="13" t="s">
        <v>29</v>
      </c>
      <c r="B25" s="14" t="n">
        <f aca="false">COUNTIF('Test Cases'!B3:B1000,A25)</f>
        <v>4</v>
      </c>
      <c r="C25" s="14" t="n">
        <f aca="false">COUNTIFS('Test Cases'!B3:B1000,A25,'Test Cases'!I3:I1000,"Pass")</f>
        <v>4</v>
      </c>
      <c r="D25" s="14" t="n">
        <f aca="false">COUNTIFS('Test Cases'!B3:B1000,A25,'Test Cases'!I3:I1000,"Fail")</f>
        <v>0</v>
      </c>
      <c r="E25" s="15" t="n">
        <f aca="false">IFERROR(C25/B25,0)</f>
        <v>1</v>
      </c>
    </row>
    <row r="26" customFormat="false" ht="15" hidden="false" customHeight="true" outlineLevel="0" collapsed="false">
      <c r="A26" s="10" t="s">
        <v>30</v>
      </c>
      <c r="B26" s="11" t="n">
        <f aca="false">COUNTIF('Test Cases'!B3:B1000,A26)</f>
        <v>2</v>
      </c>
      <c r="C26" s="11" t="n">
        <f aca="false">COUNTIFS('Test Cases'!B3:B1000,A26,'Test Cases'!I3:I1000,"Pass")</f>
        <v>2</v>
      </c>
      <c r="D26" s="11" t="n">
        <f aca="false">COUNTIFS('Test Cases'!B3:B1000,A26,'Test Cases'!I3:I1000,"Fail")</f>
        <v>0</v>
      </c>
      <c r="E26" s="12" t="n">
        <f aca="false">IFERROR(C26/B26,0)</f>
        <v>1</v>
      </c>
    </row>
    <row r="27" customFormat="false" ht="15" hidden="false" customHeight="true" outlineLevel="0" collapsed="false">
      <c r="A27" s="13" t="s">
        <v>31</v>
      </c>
      <c r="B27" s="14" t="n">
        <f aca="false">COUNTIF('Test Cases'!B3:B1000,A27)</f>
        <v>2</v>
      </c>
      <c r="C27" s="14" t="n">
        <f aca="false">COUNTIFS('Test Cases'!B3:B1000,A27,'Test Cases'!I3:I1000,"Pass")</f>
        <v>2</v>
      </c>
      <c r="D27" s="14" t="n">
        <f aca="false">COUNTIFS('Test Cases'!B3:B1000,A27,'Test Cases'!I3:I1000,"Fail")</f>
        <v>0</v>
      </c>
      <c r="E27" s="15" t="n">
        <f aca="false">IFERROR(C27/B27,0)</f>
        <v>1</v>
      </c>
    </row>
    <row r="28" customFormat="false" ht="15" hidden="false" customHeight="true" outlineLevel="0" collapsed="false">
      <c r="A28" s="10" t="s">
        <v>32</v>
      </c>
      <c r="B28" s="11" t="n">
        <f aca="false">COUNTIF('Test Cases'!B3:B1000,A28)</f>
        <v>2</v>
      </c>
      <c r="C28" s="11" t="n">
        <f aca="false">COUNTIFS('Test Cases'!B3:B1000,A28,'Test Cases'!I3:I1000,"Pass")</f>
        <v>2</v>
      </c>
      <c r="D28" s="11" t="n">
        <f aca="false">COUNTIFS('Test Cases'!B3:B1000,A28,'Test Cases'!I3:I1000,"Fail")</f>
        <v>0</v>
      </c>
      <c r="E28" s="12" t="n">
        <f aca="false">IFERROR(C28/B28,0)</f>
        <v>1</v>
      </c>
    </row>
    <row r="29" customFormat="false" ht="15" hidden="false" customHeight="true" outlineLevel="0" collapsed="false">
      <c r="A29" s="13" t="s">
        <v>33</v>
      </c>
      <c r="B29" s="14" t="n">
        <f aca="false">COUNTIF('Test Cases'!B3:B1000,A29)</f>
        <v>3</v>
      </c>
      <c r="C29" s="14" t="n">
        <f aca="false">COUNTIFS('Test Cases'!B3:B1000,A29,'Test Cases'!I3:I1000,"Pass")</f>
        <v>3</v>
      </c>
      <c r="D29" s="14" t="n">
        <f aca="false">COUNTIFS('Test Cases'!B3:B1000,A29,'Test Cases'!I3:I1000,"Fail")</f>
        <v>0</v>
      </c>
      <c r="E29" s="15" t="n">
        <f aca="false">IFERROR(C29/B29,0)</f>
        <v>1</v>
      </c>
    </row>
    <row r="30" customFormat="false" ht="15" hidden="false" customHeight="true" outlineLevel="0" collapsed="false">
      <c r="A30" s="10" t="s">
        <v>34</v>
      </c>
      <c r="B30" s="11" t="n">
        <f aca="false">COUNTIF('Test Cases'!B3:B1000,A30)</f>
        <v>3</v>
      </c>
      <c r="C30" s="11" t="n">
        <f aca="false">COUNTIFS('Test Cases'!B3:B1000,A30,'Test Cases'!I3:I1000,"Pass")</f>
        <v>3</v>
      </c>
      <c r="D30" s="11" t="n">
        <f aca="false">COUNTIFS('Test Cases'!B3:B1000,A30,'Test Cases'!I3:I1000,"Fail")</f>
        <v>0</v>
      </c>
      <c r="E30" s="12" t="n">
        <f aca="false">IFERROR(C30/B30,0)</f>
        <v>1</v>
      </c>
    </row>
    <row r="31" customFormat="false" ht="15" hidden="false" customHeight="true" outlineLevel="0" collapsed="false">
      <c r="A31" s="13" t="s">
        <v>35</v>
      </c>
      <c r="B31" s="14" t="n">
        <f aca="false">COUNTIF('Test Cases'!B3:B1000,A31)</f>
        <v>1</v>
      </c>
      <c r="C31" s="14" t="n">
        <f aca="false">COUNTIFS('Test Cases'!B3:B1000,A31,'Test Cases'!I3:I1000,"Pass")</f>
        <v>1</v>
      </c>
      <c r="D31" s="14" t="n">
        <f aca="false">COUNTIFS('Test Cases'!B3:B1000,A31,'Test Cases'!I3:I1000,"Fail")</f>
        <v>0</v>
      </c>
      <c r="E31" s="15" t="n">
        <f aca="false">IFERROR(C31/B31,0)</f>
        <v>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24"/>
    <col collapsed="false" customWidth="true" hidden="false" outlineLevel="0" max="5" min="5" style="1" width="40"/>
    <col collapsed="false" customWidth="true" hidden="false" outlineLevel="0" max="6" min="6" style="1" width="26"/>
    <col collapsed="false" customWidth="true" hidden="false" outlineLevel="0" max="7" min="7" style="1" width="38"/>
    <col collapsed="false" customWidth="true" hidden="false" outlineLevel="0" max="8" min="8" style="1" width="30"/>
    <col collapsed="false" customWidth="true" hidden="false" outlineLevel="0" max="10" min="9" style="1" width="9"/>
    <col collapsed="false" customWidth="true" hidden="false" outlineLevel="0" max="11" min="11" style="1" width="18"/>
  </cols>
  <sheetData>
    <row r="1" customFormat="false" ht="21.75" hidden="false" customHeight="true" outlineLevel="0" collapsed="false">
      <c r="A1" s="16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customFormat="false" ht="19.5" hidden="false" customHeight="true" outlineLevel="0" collapsed="false">
      <c r="A2" s="17" t="s">
        <v>37</v>
      </c>
      <c r="B2" s="17" t="s">
        <v>20</v>
      </c>
      <c r="C2" s="17" t="s">
        <v>38</v>
      </c>
      <c r="D2" s="17" t="s">
        <v>39</v>
      </c>
      <c r="E2" s="17" t="s">
        <v>40</v>
      </c>
      <c r="F2" s="17" t="s">
        <v>41</v>
      </c>
      <c r="G2" s="17" t="s">
        <v>42</v>
      </c>
      <c r="H2" s="17" t="s">
        <v>43</v>
      </c>
      <c r="I2" s="17" t="s">
        <v>44</v>
      </c>
      <c r="J2" s="17" t="s">
        <v>45</v>
      </c>
      <c r="K2" s="17" t="s">
        <v>46</v>
      </c>
    </row>
    <row r="3" customFormat="false" ht="60" hidden="false" customHeight="true" outlineLevel="0" collapsed="false">
      <c r="A3" s="18" t="s">
        <v>47</v>
      </c>
      <c r="B3" s="19" t="s">
        <v>22</v>
      </c>
      <c r="C3" s="19" t="s">
        <v>48</v>
      </c>
      <c r="D3" s="19" t="s">
        <v>49</v>
      </c>
      <c r="E3" s="19" t="s">
        <v>50</v>
      </c>
      <c r="F3" s="19" t="s">
        <v>51</v>
      </c>
      <c r="G3" s="19" t="s">
        <v>52</v>
      </c>
      <c r="H3" s="19" t="s">
        <v>53</v>
      </c>
      <c r="I3" s="20" t="s">
        <v>54</v>
      </c>
      <c r="J3" s="18" t="s">
        <v>55</v>
      </c>
      <c r="K3" s="19" t="s">
        <v>56</v>
      </c>
    </row>
    <row r="4" customFormat="false" ht="60" hidden="false" customHeight="true" outlineLevel="0" collapsed="false">
      <c r="A4" s="21" t="s">
        <v>57</v>
      </c>
      <c r="B4" s="22" t="s">
        <v>22</v>
      </c>
      <c r="C4" s="22" t="s">
        <v>58</v>
      </c>
      <c r="D4" s="22" t="s">
        <v>59</v>
      </c>
      <c r="E4" s="22" t="s">
        <v>60</v>
      </c>
      <c r="F4" s="22" t="s">
        <v>61</v>
      </c>
      <c r="G4" s="22" t="s">
        <v>62</v>
      </c>
      <c r="H4" s="22" t="s">
        <v>53</v>
      </c>
      <c r="I4" s="20" t="s">
        <v>54</v>
      </c>
      <c r="J4" s="21" t="s">
        <v>55</v>
      </c>
      <c r="K4" s="22" t="s">
        <v>56</v>
      </c>
    </row>
    <row r="5" customFormat="false" ht="60" hidden="false" customHeight="true" outlineLevel="0" collapsed="false">
      <c r="A5" s="18" t="s">
        <v>63</v>
      </c>
      <c r="B5" s="19" t="s">
        <v>22</v>
      </c>
      <c r="C5" s="19" t="s">
        <v>64</v>
      </c>
      <c r="D5" s="19" t="s">
        <v>56</v>
      </c>
      <c r="E5" s="19" t="s">
        <v>65</v>
      </c>
      <c r="F5" s="19" t="s">
        <v>66</v>
      </c>
      <c r="G5" s="19" t="s">
        <v>67</v>
      </c>
      <c r="H5" s="19" t="s">
        <v>53</v>
      </c>
      <c r="I5" s="20" t="s">
        <v>54</v>
      </c>
      <c r="J5" s="18" t="s">
        <v>68</v>
      </c>
      <c r="K5" s="19" t="s">
        <v>56</v>
      </c>
    </row>
    <row r="6" customFormat="false" ht="60" hidden="false" customHeight="true" outlineLevel="0" collapsed="false">
      <c r="A6" s="21" t="s">
        <v>69</v>
      </c>
      <c r="B6" s="22" t="s">
        <v>22</v>
      </c>
      <c r="C6" s="22" t="s">
        <v>70</v>
      </c>
      <c r="D6" s="22" t="s">
        <v>56</v>
      </c>
      <c r="E6" s="22" t="s">
        <v>71</v>
      </c>
      <c r="F6" s="22" t="s">
        <v>72</v>
      </c>
      <c r="G6" s="22" t="s">
        <v>73</v>
      </c>
      <c r="H6" s="22" t="s">
        <v>53</v>
      </c>
      <c r="I6" s="20" t="s">
        <v>54</v>
      </c>
      <c r="J6" s="21" t="s">
        <v>68</v>
      </c>
      <c r="K6" s="22" t="s">
        <v>56</v>
      </c>
    </row>
    <row r="7" customFormat="false" ht="60" hidden="false" customHeight="true" outlineLevel="0" collapsed="false">
      <c r="A7" s="18" t="s">
        <v>74</v>
      </c>
      <c r="B7" s="19" t="s">
        <v>22</v>
      </c>
      <c r="C7" s="19" t="s">
        <v>75</v>
      </c>
      <c r="D7" s="19" t="s">
        <v>76</v>
      </c>
      <c r="E7" s="19" t="s">
        <v>77</v>
      </c>
      <c r="F7" s="19" t="s">
        <v>78</v>
      </c>
      <c r="G7" s="19" t="s">
        <v>79</v>
      </c>
      <c r="H7" s="19" t="s">
        <v>53</v>
      </c>
      <c r="I7" s="20" t="s">
        <v>54</v>
      </c>
      <c r="J7" s="18" t="s">
        <v>55</v>
      </c>
      <c r="K7" s="19" t="s">
        <v>56</v>
      </c>
    </row>
    <row r="8" customFormat="false" ht="60" hidden="false" customHeight="true" outlineLevel="0" collapsed="false">
      <c r="A8" s="21" t="s">
        <v>80</v>
      </c>
      <c r="B8" s="22" t="s">
        <v>22</v>
      </c>
      <c r="C8" s="22" t="s">
        <v>81</v>
      </c>
      <c r="D8" s="22" t="s">
        <v>76</v>
      </c>
      <c r="E8" s="22" t="s">
        <v>82</v>
      </c>
      <c r="F8" s="22" t="s">
        <v>83</v>
      </c>
      <c r="G8" s="22" t="s">
        <v>84</v>
      </c>
      <c r="H8" s="22" t="s">
        <v>53</v>
      </c>
      <c r="I8" s="20" t="s">
        <v>54</v>
      </c>
      <c r="J8" s="21" t="s">
        <v>55</v>
      </c>
      <c r="K8" s="22" t="s">
        <v>56</v>
      </c>
    </row>
    <row r="9" customFormat="false" ht="60" hidden="false" customHeight="true" outlineLevel="0" collapsed="false">
      <c r="A9" s="18" t="s">
        <v>85</v>
      </c>
      <c r="B9" s="19" t="s">
        <v>23</v>
      </c>
      <c r="C9" s="19" t="s">
        <v>86</v>
      </c>
      <c r="D9" s="19" t="s">
        <v>87</v>
      </c>
      <c r="E9" s="19" t="s">
        <v>88</v>
      </c>
      <c r="F9" s="19" t="s">
        <v>89</v>
      </c>
      <c r="G9" s="19" t="s">
        <v>90</v>
      </c>
      <c r="H9" s="19" t="s">
        <v>53</v>
      </c>
      <c r="I9" s="20" t="s">
        <v>54</v>
      </c>
      <c r="J9" s="18" t="s">
        <v>55</v>
      </c>
      <c r="K9" s="19" t="s">
        <v>56</v>
      </c>
    </row>
    <row r="10" customFormat="false" ht="60" hidden="false" customHeight="true" outlineLevel="0" collapsed="false">
      <c r="A10" s="21" t="s">
        <v>91</v>
      </c>
      <c r="B10" s="22" t="s">
        <v>23</v>
      </c>
      <c r="C10" s="22" t="s">
        <v>92</v>
      </c>
      <c r="D10" s="22" t="s">
        <v>56</v>
      </c>
      <c r="E10" s="22" t="s">
        <v>93</v>
      </c>
      <c r="F10" s="22" t="s">
        <v>94</v>
      </c>
      <c r="G10" s="22" t="s">
        <v>95</v>
      </c>
      <c r="H10" s="22" t="s">
        <v>53</v>
      </c>
      <c r="I10" s="20" t="s">
        <v>54</v>
      </c>
      <c r="J10" s="21" t="s">
        <v>55</v>
      </c>
      <c r="K10" s="22" t="s">
        <v>56</v>
      </c>
    </row>
    <row r="11" customFormat="false" ht="60" hidden="false" customHeight="true" outlineLevel="0" collapsed="false">
      <c r="A11" s="18" t="s">
        <v>96</v>
      </c>
      <c r="B11" s="19" t="s">
        <v>23</v>
      </c>
      <c r="C11" s="19" t="s">
        <v>97</v>
      </c>
      <c r="D11" s="19" t="s">
        <v>98</v>
      </c>
      <c r="E11" s="19" t="s">
        <v>99</v>
      </c>
      <c r="F11" s="19" t="s">
        <v>100</v>
      </c>
      <c r="G11" s="19" t="s">
        <v>101</v>
      </c>
      <c r="H11" s="19" t="s">
        <v>53</v>
      </c>
      <c r="I11" s="20" t="s">
        <v>54</v>
      </c>
      <c r="J11" s="18" t="s">
        <v>55</v>
      </c>
      <c r="K11" s="19" t="s">
        <v>56</v>
      </c>
    </row>
    <row r="12" customFormat="false" ht="60" hidden="false" customHeight="true" outlineLevel="0" collapsed="false">
      <c r="A12" s="21" t="s">
        <v>102</v>
      </c>
      <c r="B12" s="22" t="s">
        <v>23</v>
      </c>
      <c r="C12" s="22" t="s">
        <v>103</v>
      </c>
      <c r="D12" s="22" t="s">
        <v>104</v>
      </c>
      <c r="E12" s="22" t="s">
        <v>105</v>
      </c>
      <c r="F12" s="22" t="s">
        <v>106</v>
      </c>
      <c r="G12" s="22" t="s">
        <v>107</v>
      </c>
      <c r="H12" s="22" t="s">
        <v>53</v>
      </c>
      <c r="I12" s="20" t="s">
        <v>54</v>
      </c>
      <c r="J12" s="21" t="s">
        <v>55</v>
      </c>
      <c r="K12" s="22" t="s">
        <v>56</v>
      </c>
    </row>
    <row r="13" customFormat="false" ht="60" hidden="false" customHeight="true" outlineLevel="0" collapsed="false">
      <c r="A13" s="18" t="s">
        <v>108</v>
      </c>
      <c r="B13" s="19" t="s">
        <v>23</v>
      </c>
      <c r="C13" s="19" t="s">
        <v>109</v>
      </c>
      <c r="D13" s="19" t="s">
        <v>56</v>
      </c>
      <c r="E13" s="19" t="s">
        <v>110</v>
      </c>
      <c r="F13" s="19" t="s">
        <v>111</v>
      </c>
      <c r="G13" s="19" t="s">
        <v>112</v>
      </c>
      <c r="H13" s="19" t="s">
        <v>53</v>
      </c>
      <c r="I13" s="20" t="s">
        <v>54</v>
      </c>
      <c r="J13" s="18" t="s">
        <v>68</v>
      </c>
      <c r="K13" s="19" t="s">
        <v>56</v>
      </c>
    </row>
    <row r="14" customFormat="false" ht="60" hidden="false" customHeight="true" outlineLevel="0" collapsed="false">
      <c r="A14" s="21" t="s">
        <v>113</v>
      </c>
      <c r="B14" s="22" t="s">
        <v>24</v>
      </c>
      <c r="C14" s="22" t="s">
        <v>114</v>
      </c>
      <c r="D14" s="22" t="s">
        <v>115</v>
      </c>
      <c r="E14" s="22" t="s">
        <v>116</v>
      </c>
      <c r="F14" s="22" t="s">
        <v>117</v>
      </c>
      <c r="G14" s="22" t="s">
        <v>118</v>
      </c>
      <c r="H14" s="22" t="s">
        <v>53</v>
      </c>
      <c r="I14" s="20" t="s">
        <v>54</v>
      </c>
      <c r="J14" s="21" t="s">
        <v>55</v>
      </c>
      <c r="K14" s="22" t="s">
        <v>56</v>
      </c>
    </row>
    <row r="15" customFormat="false" ht="60" hidden="false" customHeight="true" outlineLevel="0" collapsed="false">
      <c r="A15" s="18" t="s">
        <v>119</v>
      </c>
      <c r="B15" s="19" t="s">
        <v>24</v>
      </c>
      <c r="C15" s="19" t="s">
        <v>120</v>
      </c>
      <c r="D15" s="19" t="s">
        <v>121</v>
      </c>
      <c r="E15" s="19" t="s">
        <v>122</v>
      </c>
      <c r="F15" s="19" t="s">
        <v>123</v>
      </c>
      <c r="G15" s="19" t="s">
        <v>124</v>
      </c>
      <c r="H15" s="19" t="s">
        <v>53</v>
      </c>
      <c r="I15" s="20" t="s">
        <v>54</v>
      </c>
      <c r="J15" s="18" t="s">
        <v>68</v>
      </c>
      <c r="K15" s="19" t="s">
        <v>56</v>
      </c>
    </row>
    <row r="16" customFormat="false" ht="60" hidden="false" customHeight="true" outlineLevel="0" collapsed="false">
      <c r="A16" s="21" t="s">
        <v>125</v>
      </c>
      <c r="B16" s="22" t="s">
        <v>24</v>
      </c>
      <c r="C16" s="22" t="s">
        <v>126</v>
      </c>
      <c r="D16" s="22" t="s">
        <v>121</v>
      </c>
      <c r="E16" s="22" t="s">
        <v>127</v>
      </c>
      <c r="F16" s="22" t="s">
        <v>56</v>
      </c>
      <c r="G16" s="22" t="s">
        <v>128</v>
      </c>
      <c r="H16" s="22" t="s">
        <v>53</v>
      </c>
      <c r="I16" s="20" t="s">
        <v>54</v>
      </c>
      <c r="J16" s="21" t="s">
        <v>68</v>
      </c>
      <c r="K16" s="22" t="s">
        <v>56</v>
      </c>
    </row>
    <row r="17" customFormat="false" ht="60" hidden="false" customHeight="true" outlineLevel="0" collapsed="false">
      <c r="A17" s="18" t="s">
        <v>129</v>
      </c>
      <c r="B17" s="19" t="s">
        <v>24</v>
      </c>
      <c r="C17" s="19" t="s">
        <v>130</v>
      </c>
      <c r="D17" s="19" t="s">
        <v>121</v>
      </c>
      <c r="E17" s="19" t="s">
        <v>131</v>
      </c>
      <c r="F17" s="19" t="s">
        <v>132</v>
      </c>
      <c r="G17" s="19" t="s">
        <v>133</v>
      </c>
      <c r="H17" s="19" t="s">
        <v>53</v>
      </c>
      <c r="I17" s="20" t="s">
        <v>54</v>
      </c>
      <c r="J17" s="18" t="s">
        <v>68</v>
      </c>
      <c r="K17" s="19" t="s">
        <v>56</v>
      </c>
    </row>
    <row r="18" customFormat="false" ht="60" hidden="false" customHeight="true" outlineLevel="0" collapsed="false">
      <c r="A18" s="21" t="s">
        <v>134</v>
      </c>
      <c r="B18" s="22" t="s">
        <v>24</v>
      </c>
      <c r="C18" s="22" t="s">
        <v>135</v>
      </c>
      <c r="D18" s="22" t="s">
        <v>136</v>
      </c>
      <c r="E18" s="22" t="s">
        <v>137</v>
      </c>
      <c r="F18" s="22" t="s">
        <v>100</v>
      </c>
      <c r="G18" s="22" t="s">
        <v>138</v>
      </c>
      <c r="H18" s="22" t="s">
        <v>53</v>
      </c>
      <c r="I18" s="20" t="s">
        <v>54</v>
      </c>
      <c r="J18" s="21" t="s">
        <v>55</v>
      </c>
      <c r="K18" s="22" t="s">
        <v>56</v>
      </c>
    </row>
    <row r="19" customFormat="false" ht="60" hidden="false" customHeight="true" outlineLevel="0" collapsed="false">
      <c r="A19" s="18" t="s">
        <v>139</v>
      </c>
      <c r="B19" s="19" t="s">
        <v>24</v>
      </c>
      <c r="C19" s="19" t="s">
        <v>140</v>
      </c>
      <c r="D19" s="19" t="s">
        <v>115</v>
      </c>
      <c r="E19" s="19" t="s">
        <v>141</v>
      </c>
      <c r="F19" s="19" t="s">
        <v>142</v>
      </c>
      <c r="G19" s="19" t="s">
        <v>143</v>
      </c>
      <c r="H19" s="19" t="s">
        <v>53</v>
      </c>
      <c r="I19" s="20" t="s">
        <v>54</v>
      </c>
      <c r="J19" s="18" t="s">
        <v>68</v>
      </c>
      <c r="K19" s="19" t="s">
        <v>56</v>
      </c>
    </row>
    <row r="20" customFormat="false" ht="60" hidden="false" customHeight="true" outlineLevel="0" collapsed="false">
      <c r="A20" s="21" t="s">
        <v>144</v>
      </c>
      <c r="B20" s="22" t="s">
        <v>24</v>
      </c>
      <c r="C20" s="22" t="s">
        <v>145</v>
      </c>
      <c r="D20" s="22" t="s">
        <v>146</v>
      </c>
      <c r="E20" s="22" t="s">
        <v>147</v>
      </c>
      <c r="F20" s="22" t="s">
        <v>148</v>
      </c>
      <c r="G20" s="22" t="s">
        <v>149</v>
      </c>
      <c r="H20" s="22" t="s">
        <v>53</v>
      </c>
      <c r="I20" s="20" t="s">
        <v>54</v>
      </c>
      <c r="J20" s="21" t="s">
        <v>68</v>
      </c>
      <c r="K20" s="22" t="s">
        <v>56</v>
      </c>
    </row>
    <row r="21" customFormat="false" ht="60" hidden="false" customHeight="true" outlineLevel="0" collapsed="false">
      <c r="A21" s="18" t="s">
        <v>150</v>
      </c>
      <c r="B21" s="19" t="s">
        <v>25</v>
      </c>
      <c r="C21" s="19" t="s">
        <v>151</v>
      </c>
      <c r="D21" s="19" t="s">
        <v>115</v>
      </c>
      <c r="E21" s="19" t="s">
        <v>152</v>
      </c>
      <c r="F21" s="19" t="s">
        <v>153</v>
      </c>
      <c r="G21" s="19" t="s">
        <v>154</v>
      </c>
      <c r="H21" s="19" t="s">
        <v>53</v>
      </c>
      <c r="I21" s="20" t="s">
        <v>54</v>
      </c>
      <c r="J21" s="18" t="s">
        <v>68</v>
      </c>
      <c r="K21" s="19" t="s">
        <v>56</v>
      </c>
    </row>
    <row r="22" customFormat="false" ht="60" hidden="false" customHeight="true" outlineLevel="0" collapsed="false">
      <c r="A22" s="21" t="s">
        <v>155</v>
      </c>
      <c r="B22" s="22" t="s">
        <v>25</v>
      </c>
      <c r="C22" s="22" t="s">
        <v>156</v>
      </c>
      <c r="D22" s="22" t="s">
        <v>157</v>
      </c>
      <c r="E22" s="22" t="s">
        <v>158</v>
      </c>
      <c r="F22" s="22" t="s">
        <v>159</v>
      </c>
      <c r="G22" s="22" t="s">
        <v>160</v>
      </c>
      <c r="H22" s="22" t="s">
        <v>53</v>
      </c>
      <c r="I22" s="20" t="s">
        <v>54</v>
      </c>
      <c r="J22" s="21" t="s">
        <v>161</v>
      </c>
      <c r="K22" s="22" t="s">
        <v>56</v>
      </c>
    </row>
    <row r="23" customFormat="false" ht="60" hidden="false" customHeight="true" outlineLevel="0" collapsed="false">
      <c r="A23" s="18" t="s">
        <v>162</v>
      </c>
      <c r="B23" s="19" t="s">
        <v>26</v>
      </c>
      <c r="C23" s="19" t="s">
        <v>163</v>
      </c>
      <c r="D23" s="19" t="s">
        <v>164</v>
      </c>
      <c r="E23" s="19" t="s">
        <v>165</v>
      </c>
      <c r="F23" s="19" t="s">
        <v>56</v>
      </c>
      <c r="G23" s="19" t="s">
        <v>166</v>
      </c>
      <c r="H23" s="19" t="s">
        <v>53</v>
      </c>
      <c r="I23" s="20" t="s">
        <v>54</v>
      </c>
      <c r="J23" s="18" t="s">
        <v>55</v>
      </c>
      <c r="K23" s="19" t="s">
        <v>56</v>
      </c>
    </row>
    <row r="24" customFormat="false" ht="60" hidden="false" customHeight="true" outlineLevel="0" collapsed="false">
      <c r="A24" s="21" t="s">
        <v>167</v>
      </c>
      <c r="B24" s="22" t="s">
        <v>26</v>
      </c>
      <c r="C24" s="22" t="s">
        <v>168</v>
      </c>
      <c r="D24" s="22" t="s">
        <v>169</v>
      </c>
      <c r="E24" s="22" t="s">
        <v>170</v>
      </c>
      <c r="F24" s="22" t="s">
        <v>171</v>
      </c>
      <c r="G24" s="22" t="s">
        <v>172</v>
      </c>
      <c r="H24" s="22" t="s">
        <v>53</v>
      </c>
      <c r="I24" s="20" t="s">
        <v>54</v>
      </c>
      <c r="J24" s="21" t="s">
        <v>68</v>
      </c>
      <c r="K24" s="22" t="s">
        <v>56</v>
      </c>
    </row>
    <row r="25" customFormat="false" ht="60" hidden="false" customHeight="true" outlineLevel="0" collapsed="false">
      <c r="A25" s="18" t="s">
        <v>173</v>
      </c>
      <c r="B25" s="19" t="s">
        <v>26</v>
      </c>
      <c r="C25" s="19" t="s">
        <v>174</v>
      </c>
      <c r="D25" s="19" t="s">
        <v>175</v>
      </c>
      <c r="E25" s="19" t="s">
        <v>176</v>
      </c>
      <c r="F25" s="19" t="s">
        <v>177</v>
      </c>
      <c r="G25" s="19" t="s">
        <v>178</v>
      </c>
      <c r="H25" s="19" t="s">
        <v>53</v>
      </c>
      <c r="I25" s="20" t="s">
        <v>54</v>
      </c>
      <c r="J25" s="18" t="s">
        <v>68</v>
      </c>
      <c r="K25" s="19" t="s">
        <v>56</v>
      </c>
    </row>
    <row r="26" customFormat="false" ht="60" hidden="false" customHeight="true" outlineLevel="0" collapsed="false">
      <c r="A26" s="21" t="s">
        <v>179</v>
      </c>
      <c r="B26" s="22" t="s">
        <v>26</v>
      </c>
      <c r="C26" s="22" t="s">
        <v>180</v>
      </c>
      <c r="D26" s="22" t="s">
        <v>169</v>
      </c>
      <c r="E26" s="22" t="s">
        <v>181</v>
      </c>
      <c r="F26" s="22" t="s">
        <v>56</v>
      </c>
      <c r="G26" s="22" t="s">
        <v>182</v>
      </c>
      <c r="H26" s="22" t="s">
        <v>53</v>
      </c>
      <c r="I26" s="20" t="s">
        <v>54</v>
      </c>
      <c r="J26" s="21" t="s">
        <v>68</v>
      </c>
      <c r="K26" s="22" t="s">
        <v>56</v>
      </c>
    </row>
    <row r="27" customFormat="false" ht="60" hidden="false" customHeight="true" outlineLevel="0" collapsed="false">
      <c r="A27" s="18" t="s">
        <v>183</v>
      </c>
      <c r="B27" s="19" t="s">
        <v>26</v>
      </c>
      <c r="C27" s="19" t="s">
        <v>184</v>
      </c>
      <c r="D27" s="19" t="s">
        <v>185</v>
      </c>
      <c r="E27" s="19" t="s">
        <v>186</v>
      </c>
      <c r="F27" s="19" t="s">
        <v>56</v>
      </c>
      <c r="G27" s="19" t="s">
        <v>187</v>
      </c>
      <c r="H27" s="19" t="s">
        <v>53</v>
      </c>
      <c r="I27" s="20" t="s">
        <v>54</v>
      </c>
      <c r="J27" s="18" t="s">
        <v>161</v>
      </c>
      <c r="K27" s="19" t="s">
        <v>56</v>
      </c>
    </row>
    <row r="28" customFormat="false" ht="60" hidden="false" customHeight="true" outlineLevel="0" collapsed="false">
      <c r="A28" s="21" t="s">
        <v>188</v>
      </c>
      <c r="B28" s="22" t="s">
        <v>27</v>
      </c>
      <c r="C28" s="22" t="s">
        <v>189</v>
      </c>
      <c r="D28" s="22" t="s">
        <v>136</v>
      </c>
      <c r="E28" s="22" t="s">
        <v>190</v>
      </c>
      <c r="F28" s="22" t="s">
        <v>191</v>
      </c>
      <c r="G28" s="22" t="s">
        <v>192</v>
      </c>
      <c r="H28" s="22" t="s">
        <v>53</v>
      </c>
      <c r="I28" s="20" t="s">
        <v>54</v>
      </c>
      <c r="J28" s="21" t="s">
        <v>55</v>
      </c>
      <c r="K28" s="22" t="s">
        <v>56</v>
      </c>
    </row>
    <row r="29" customFormat="false" ht="60" hidden="false" customHeight="true" outlineLevel="0" collapsed="false">
      <c r="A29" s="18" t="s">
        <v>193</v>
      </c>
      <c r="B29" s="19" t="s">
        <v>27</v>
      </c>
      <c r="C29" s="19" t="s">
        <v>194</v>
      </c>
      <c r="D29" s="19" t="s">
        <v>195</v>
      </c>
      <c r="E29" s="19" t="s">
        <v>196</v>
      </c>
      <c r="F29" s="19" t="s">
        <v>197</v>
      </c>
      <c r="G29" s="19" t="s">
        <v>198</v>
      </c>
      <c r="H29" s="19" t="s">
        <v>53</v>
      </c>
      <c r="I29" s="20" t="s">
        <v>54</v>
      </c>
      <c r="J29" s="18" t="s">
        <v>68</v>
      </c>
      <c r="K29" s="19" t="s">
        <v>56</v>
      </c>
    </row>
    <row r="30" customFormat="false" ht="60" hidden="false" customHeight="true" outlineLevel="0" collapsed="false">
      <c r="A30" s="21" t="s">
        <v>199</v>
      </c>
      <c r="B30" s="22" t="s">
        <v>27</v>
      </c>
      <c r="C30" s="22" t="s">
        <v>200</v>
      </c>
      <c r="D30" s="22" t="s">
        <v>195</v>
      </c>
      <c r="E30" s="22" t="s">
        <v>201</v>
      </c>
      <c r="F30" s="22" t="s">
        <v>56</v>
      </c>
      <c r="G30" s="22" t="s">
        <v>202</v>
      </c>
      <c r="H30" s="22" t="s">
        <v>53</v>
      </c>
      <c r="I30" s="20" t="s">
        <v>54</v>
      </c>
      <c r="J30" s="21" t="s">
        <v>68</v>
      </c>
      <c r="K30" s="22" t="s">
        <v>56</v>
      </c>
    </row>
    <row r="31" customFormat="false" ht="60" hidden="false" customHeight="true" outlineLevel="0" collapsed="false">
      <c r="A31" s="18" t="s">
        <v>203</v>
      </c>
      <c r="B31" s="19" t="s">
        <v>27</v>
      </c>
      <c r="C31" s="19" t="s">
        <v>204</v>
      </c>
      <c r="D31" s="19" t="s">
        <v>136</v>
      </c>
      <c r="E31" s="19" t="s">
        <v>205</v>
      </c>
      <c r="F31" s="19" t="s">
        <v>206</v>
      </c>
      <c r="G31" s="19" t="s">
        <v>207</v>
      </c>
      <c r="H31" s="19" t="s">
        <v>53</v>
      </c>
      <c r="I31" s="20" t="s">
        <v>54</v>
      </c>
      <c r="J31" s="18" t="s">
        <v>68</v>
      </c>
      <c r="K31" s="19" t="s">
        <v>56</v>
      </c>
    </row>
    <row r="32" customFormat="false" ht="60" hidden="false" customHeight="true" outlineLevel="0" collapsed="false">
      <c r="A32" s="21" t="s">
        <v>208</v>
      </c>
      <c r="B32" s="22" t="s">
        <v>27</v>
      </c>
      <c r="C32" s="22" t="s">
        <v>209</v>
      </c>
      <c r="D32" s="22" t="s">
        <v>210</v>
      </c>
      <c r="E32" s="22" t="s">
        <v>211</v>
      </c>
      <c r="F32" s="22" t="s">
        <v>56</v>
      </c>
      <c r="G32" s="22" t="s">
        <v>212</v>
      </c>
      <c r="H32" s="22" t="s">
        <v>53</v>
      </c>
      <c r="I32" s="20" t="s">
        <v>54</v>
      </c>
      <c r="J32" s="21" t="s">
        <v>161</v>
      </c>
      <c r="K32" s="22" t="s">
        <v>56</v>
      </c>
    </row>
    <row r="33" customFormat="false" ht="60" hidden="false" customHeight="true" outlineLevel="0" collapsed="false">
      <c r="A33" s="18" t="s">
        <v>213</v>
      </c>
      <c r="B33" s="19" t="s">
        <v>28</v>
      </c>
      <c r="C33" s="19" t="s">
        <v>214</v>
      </c>
      <c r="D33" s="19" t="s">
        <v>215</v>
      </c>
      <c r="E33" s="19" t="s">
        <v>216</v>
      </c>
      <c r="F33" s="19" t="s">
        <v>217</v>
      </c>
      <c r="G33" s="19" t="s">
        <v>218</v>
      </c>
      <c r="H33" s="19" t="s">
        <v>53</v>
      </c>
      <c r="I33" s="20" t="s">
        <v>54</v>
      </c>
      <c r="J33" s="18" t="s">
        <v>55</v>
      </c>
      <c r="K33" s="19" t="s">
        <v>56</v>
      </c>
    </row>
    <row r="34" customFormat="false" ht="60" hidden="false" customHeight="true" outlineLevel="0" collapsed="false">
      <c r="A34" s="21" t="s">
        <v>219</v>
      </c>
      <c r="B34" s="22" t="s">
        <v>28</v>
      </c>
      <c r="C34" s="22" t="s">
        <v>220</v>
      </c>
      <c r="D34" s="22" t="s">
        <v>221</v>
      </c>
      <c r="E34" s="22" t="s">
        <v>222</v>
      </c>
      <c r="F34" s="22" t="s">
        <v>223</v>
      </c>
      <c r="G34" s="22" t="s">
        <v>224</v>
      </c>
      <c r="H34" s="22" t="s">
        <v>53</v>
      </c>
      <c r="I34" s="20" t="s">
        <v>54</v>
      </c>
      <c r="J34" s="21" t="s">
        <v>68</v>
      </c>
      <c r="K34" s="22" t="s">
        <v>56</v>
      </c>
    </row>
    <row r="35" customFormat="false" ht="60" hidden="false" customHeight="true" outlineLevel="0" collapsed="false">
      <c r="A35" s="18" t="s">
        <v>225</v>
      </c>
      <c r="B35" s="19" t="s">
        <v>28</v>
      </c>
      <c r="C35" s="19" t="s">
        <v>226</v>
      </c>
      <c r="D35" s="19" t="s">
        <v>227</v>
      </c>
      <c r="E35" s="19" t="s">
        <v>228</v>
      </c>
      <c r="F35" s="19" t="s">
        <v>56</v>
      </c>
      <c r="G35" s="19" t="s">
        <v>229</v>
      </c>
      <c r="H35" s="19" t="s">
        <v>53</v>
      </c>
      <c r="I35" s="20" t="s">
        <v>54</v>
      </c>
      <c r="J35" s="18" t="s">
        <v>68</v>
      </c>
      <c r="K35" s="19" t="s">
        <v>56</v>
      </c>
    </row>
    <row r="36" customFormat="false" ht="60" hidden="false" customHeight="true" outlineLevel="0" collapsed="false">
      <c r="A36" s="21" t="s">
        <v>230</v>
      </c>
      <c r="B36" s="22" t="s">
        <v>28</v>
      </c>
      <c r="C36" s="22" t="s">
        <v>231</v>
      </c>
      <c r="D36" s="22" t="s">
        <v>232</v>
      </c>
      <c r="E36" s="22" t="s">
        <v>233</v>
      </c>
      <c r="F36" s="22" t="s">
        <v>56</v>
      </c>
      <c r="G36" s="22" t="s">
        <v>234</v>
      </c>
      <c r="H36" s="22" t="s">
        <v>53</v>
      </c>
      <c r="I36" s="20" t="s">
        <v>54</v>
      </c>
      <c r="J36" s="21" t="s">
        <v>55</v>
      </c>
      <c r="K36" s="22" t="s">
        <v>56</v>
      </c>
    </row>
    <row r="37" customFormat="false" ht="60" hidden="false" customHeight="true" outlineLevel="0" collapsed="false">
      <c r="A37" s="18" t="s">
        <v>235</v>
      </c>
      <c r="B37" s="19" t="s">
        <v>29</v>
      </c>
      <c r="C37" s="19" t="s">
        <v>236</v>
      </c>
      <c r="D37" s="19" t="s">
        <v>237</v>
      </c>
      <c r="E37" s="19" t="s">
        <v>238</v>
      </c>
      <c r="F37" s="19" t="s">
        <v>56</v>
      </c>
      <c r="G37" s="19" t="s">
        <v>239</v>
      </c>
      <c r="H37" s="19" t="s">
        <v>53</v>
      </c>
      <c r="I37" s="20" t="s">
        <v>54</v>
      </c>
      <c r="J37" s="18" t="s">
        <v>68</v>
      </c>
      <c r="K37" s="19" t="s">
        <v>56</v>
      </c>
    </row>
    <row r="38" customFormat="false" ht="60" hidden="false" customHeight="true" outlineLevel="0" collapsed="false">
      <c r="A38" s="21" t="s">
        <v>240</v>
      </c>
      <c r="B38" s="22" t="s">
        <v>29</v>
      </c>
      <c r="C38" s="22" t="s">
        <v>241</v>
      </c>
      <c r="D38" s="22" t="s">
        <v>242</v>
      </c>
      <c r="E38" s="22" t="s">
        <v>243</v>
      </c>
      <c r="F38" s="22" t="s">
        <v>56</v>
      </c>
      <c r="G38" s="22" t="s">
        <v>244</v>
      </c>
      <c r="H38" s="22" t="s">
        <v>53</v>
      </c>
      <c r="I38" s="20" t="s">
        <v>54</v>
      </c>
      <c r="J38" s="21" t="s">
        <v>68</v>
      </c>
      <c r="K38" s="22" t="s">
        <v>56</v>
      </c>
    </row>
    <row r="39" customFormat="false" ht="60" hidden="false" customHeight="true" outlineLevel="0" collapsed="false">
      <c r="A39" s="18" t="s">
        <v>245</v>
      </c>
      <c r="B39" s="19" t="s">
        <v>29</v>
      </c>
      <c r="C39" s="19" t="s">
        <v>246</v>
      </c>
      <c r="D39" s="19" t="s">
        <v>247</v>
      </c>
      <c r="E39" s="19" t="s">
        <v>248</v>
      </c>
      <c r="F39" s="19" t="s">
        <v>56</v>
      </c>
      <c r="G39" s="19" t="s">
        <v>249</v>
      </c>
      <c r="H39" s="19" t="s">
        <v>53</v>
      </c>
      <c r="I39" s="20" t="s">
        <v>54</v>
      </c>
      <c r="J39" s="18" t="s">
        <v>68</v>
      </c>
      <c r="K39" s="19" t="s">
        <v>56</v>
      </c>
    </row>
    <row r="40" customFormat="false" ht="60" hidden="false" customHeight="true" outlineLevel="0" collapsed="false">
      <c r="A40" s="21" t="s">
        <v>250</v>
      </c>
      <c r="B40" s="22" t="s">
        <v>29</v>
      </c>
      <c r="C40" s="22" t="s">
        <v>251</v>
      </c>
      <c r="D40" s="22" t="s">
        <v>252</v>
      </c>
      <c r="E40" s="22" t="s">
        <v>253</v>
      </c>
      <c r="F40" s="22" t="s">
        <v>254</v>
      </c>
      <c r="G40" s="22" t="s">
        <v>255</v>
      </c>
      <c r="H40" s="22" t="s">
        <v>53</v>
      </c>
      <c r="I40" s="20" t="s">
        <v>54</v>
      </c>
      <c r="J40" s="21" t="s">
        <v>55</v>
      </c>
      <c r="K40" s="22" t="s">
        <v>56</v>
      </c>
    </row>
    <row r="41" customFormat="false" ht="60" hidden="false" customHeight="true" outlineLevel="0" collapsed="false">
      <c r="A41" s="18" t="s">
        <v>256</v>
      </c>
      <c r="B41" s="19" t="s">
        <v>30</v>
      </c>
      <c r="C41" s="19" t="s">
        <v>257</v>
      </c>
      <c r="D41" s="19" t="s">
        <v>258</v>
      </c>
      <c r="E41" s="19" t="s">
        <v>259</v>
      </c>
      <c r="F41" s="19" t="s">
        <v>56</v>
      </c>
      <c r="G41" s="19" t="s">
        <v>260</v>
      </c>
      <c r="H41" s="19" t="s">
        <v>53</v>
      </c>
      <c r="I41" s="20" t="s">
        <v>54</v>
      </c>
      <c r="J41" s="18" t="s">
        <v>68</v>
      </c>
      <c r="K41" s="19" t="s">
        <v>56</v>
      </c>
    </row>
    <row r="42" customFormat="false" ht="60" hidden="false" customHeight="true" outlineLevel="0" collapsed="false">
      <c r="A42" s="21" t="s">
        <v>261</v>
      </c>
      <c r="B42" s="22" t="s">
        <v>30</v>
      </c>
      <c r="C42" s="22" t="s">
        <v>262</v>
      </c>
      <c r="D42" s="22" t="s">
        <v>258</v>
      </c>
      <c r="E42" s="22" t="s">
        <v>259</v>
      </c>
      <c r="F42" s="22" t="s">
        <v>56</v>
      </c>
      <c r="G42" s="22" t="s">
        <v>263</v>
      </c>
      <c r="H42" s="22" t="s">
        <v>53</v>
      </c>
      <c r="I42" s="20" t="s">
        <v>54</v>
      </c>
      <c r="J42" s="21" t="s">
        <v>68</v>
      </c>
      <c r="K42" s="22" t="s">
        <v>56</v>
      </c>
    </row>
    <row r="43" customFormat="false" ht="60" hidden="false" customHeight="true" outlineLevel="0" collapsed="false">
      <c r="A43" s="18" t="s">
        <v>264</v>
      </c>
      <c r="B43" s="19" t="s">
        <v>31</v>
      </c>
      <c r="C43" s="19" t="s">
        <v>265</v>
      </c>
      <c r="D43" s="19" t="s">
        <v>266</v>
      </c>
      <c r="E43" s="19" t="s">
        <v>267</v>
      </c>
      <c r="F43" s="19" t="s">
        <v>268</v>
      </c>
      <c r="G43" s="19" t="s">
        <v>269</v>
      </c>
      <c r="H43" s="19" t="s">
        <v>53</v>
      </c>
      <c r="I43" s="20" t="s">
        <v>54</v>
      </c>
      <c r="J43" s="18" t="s">
        <v>161</v>
      </c>
      <c r="K43" s="19" t="s">
        <v>56</v>
      </c>
    </row>
    <row r="44" customFormat="false" ht="60" hidden="false" customHeight="true" outlineLevel="0" collapsed="false">
      <c r="A44" s="21" t="s">
        <v>270</v>
      </c>
      <c r="B44" s="22" t="s">
        <v>31</v>
      </c>
      <c r="C44" s="22" t="s">
        <v>271</v>
      </c>
      <c r="D44" s="22" t="s">
        <v>272</v>
      </c>
      <c r="E44" s="22" t="s">
        <v>273</v>
      </c>
      <c r="F44" s="22" t="s">
        <v>56</v>
      </c>
      <c r="G44" s="22" t="s">
        <v>274</v>
      </c>
      <c r="H44" s="22" t="s">
        <v>53</v>
      </c>
      <c r="I44" s="20" t="s">
        <v>54</v>
      </c>
      <c r="J44" s="21" t="s">
        <v>161</v>
      </c>
      <c r="K44" s="22" t="s">
        <v>56</v>
      </c>
    </row>
    <row r="45" customFormat="false" ht="60" hidden="false" customHeight="true" outlineLevel="0" collapsed="false">
      <c r="A45" s="18" t="s">
        <v>275</v>
      </c>
      <c r="B45" s="19" t="s">
        <v>32</v>
      </c>
      <c r="C45" s="19" t="s">
        <v>276</v>
      </c>
      <c r="D45" s="19" t="s">
        <v>136</v>
      </c>
      <c r="E45" s="19" t="s">
        <v>277</v>
      </c>
      <c r="F45" s="19" t="s">
        <v>278</v>
      </c>
      <c r="G45" s="19" t="s">
        <v>279</v>
      </c>
      <c r="H45" s="19" t="s">
        <v>53</v>
      </c>
      <c r="I45" s="20" t="s">
        <v>54</v>
      </c>
      <c r="J45" s="18" t="s">
        <v>161</v>
      </c>
      <c r="K45" s="19" t="s">
        <v>56</v>
      </c>
    </row>
    <row r="46" customFormat="false" ht="60" hidden="false" customHeight="true" outlineLevel="0" collapsed="false">
      <c r="A46" s="21" t="s">
        <v>280</v>
      </c>
      <c r="B46" s="22" t="s">
        <v>32</v>
      </c>
      <c r="C46" s="22" t="s">
        <v>281</v>
      </c>
      <c r="D46" s="22" t="s">
        <v>136</v>
      </c>
      <c r="E46" s="22" t="s">
        <v>282</v>
      </c>
      <c r="F46" s="22" t="s">
        <v>283</v>
      </c>
      <c r="G46" s="22" t="s">
        <v>284</v>
      </c>
      <c r="H46" s="22" t="s">
        <v>53</v>
      </c>
      <c r="I46" s="20" t="s">
        <v>54</v>
      </c>
      <c r="J46" s="21" t="s">
        <v>68</v>
      </c>
      <c r="K46" s="22" t="s">
        <v>56</v>
      </c>
    </row>
    <row r="47" customFormat="false" ht="60" hidden="false" customHeight="true" outlineLevel="0" collapsed="false">
      <c r="A47" s="18" t="s">
        <v>285</v>
      </c>
      <c r="B47" s="19" t="s">
        <v>33</v>
      </c>
      <c r="C47" s="19" t="s">
        <v>286</v>
      </c>
      <c r="D47" s="19" t="s">
        <v>287</v>
      </c>
      <c r="E47" s="19" t="s">
        <v>288</v>
      </c>
      <c r="F47" s="19" t="s">
        <v>56</v>
      </c>
      <c r="G47" s="19" t="s">
        <v>289</v>
      </c>
      <c r="H47" s="19" t="s">
        <v>53</v>
      </c>
      <c r="I47" s="20" t="s">
        <v>54</v>
      </c>
      <c r="J47" s="18" t="s">
        <v>55</v>
      </c>
      <c r="K47" s="19" t="s">
        <v>56</v>
      </c>
    </row>
    <row r="48" customFormat="false" ht="60" hidden="false" customHeight="true" outlineLevel="0" collapsed="false">
      <c r="A48" s="21" t="s">
        <v>290</v>
      </c>
      <c r="B48" s="22" t="s">
        <v>33</v>
      </c>
      <c r="C48" s="22" t="s">
        <v>291</v>
      </c>
      <c r="D48" s="22" t="s">
        <v>292</v>
      </c>
      <c r="E48" s="22" t="s">
        <v>293</v>
      </c>
      <c r="F48" s="22" t="s">
        <v>56</v>
      </c>
      <c r="G48" s="22" t="s">
        <v>294</v>
      </c>
      <c r="H48" s="22" t="s">
        <v>53</v>
      </c>
      <c r="I48" s="20" t="s">
        <v>54</v>
      </c>
      <c r="J48" s="21" t="s">
        <v>68</v>
      </c>
      <c r="K48" s="22" t="s">
        <v>56</v>
      </c>
    </row>
    <row r="49" customFormat="false" ht="60" hidden="false" customHeight="true" outlineLevel="0" collapsed="false">
      <c r="A49" s="18" t="s">
        <v>295</v>
      </c>
      <c r="B49" s="19" t="s">
        <v>33</v>
      </c>
      <c r="C49" s="19" t="s">
        <v>296</v>
      </c>
      <c r="D49" s="19" t="s">
        <v>297</v>
      </c>
      <c r="E49" s="19" t="s">
        <v>298</v>
      </c>
      <c r="F49" s="19" t="s">
        <v>56</v>
      </c>
      <c r="G49" s="19" t="s">
        <v>299</v>
      </c>
      <c r="H49" s="19" t="s">
        <v>53</v>
      </c>
      <c r="I49" s="20" t="s">
        <v>54</v>
      </c>
      <c r="J49" s="18" t="s">
        <v>68</v>
      </c>
      <c r="K49" s="19" t="s">
        <v>56</v>
      </c>
    </row>
    <row r="50" customFormat="false" ht="60" hidden="false" customHeight="true" outlineLevel="0" collapsed="false">
      <c r="A50" s="21" t="s">
        <v>300</v>
      </c>
      <c r="B50" s="22" t="s">
        <v>34</v>
      </c>
      <c r="C50" s="22" t="s">
        <v>301</v>
      </c>
      <c r="D50" s="22" t="s">
        <v>56</v>
      </c>
      <c r="E50" s="22" t="s">
        <v>302</v>
      </c>
      <c r="F50" s="22" t="s">
        <v>303</v>
      </c>
      <c r="G50" s="22" t="s">
        <v>304</v>
      </c>
      <c r="H50" s="22" t="s">
        <v>53</v>
      </c>
      <c r="I50" s="20" t="s">
        <v>54</v>
      </c>
      <c r="J50" s="21" t="s">
        <v>68</v>
      </c>
      <c r="K50" s="22" t="s">
        <v>56</v>
      </c>
    </row>
    <row r="51" customFormat="false" ht="60" hidden="false" customHeight="true" outlineLevel="0" collapsed="false">
      <c r="A51" s="18" t="s">
        <v>305</v>
      </c>
      <c r="B51" s="19" t="s">
        <v>34</v>
      </c>
      <c r="C51" s="19" t="s">
        <v>306</v>
      </c>
      <c r="D51" s="19" t="s">
        <v>56</v>
      </c>
      <c r="E51" s="19" t="s">
        <v>307</v>
      </c>
      <c r="F51" s="19" t="s">
        <v>308</v>
      </c>
      <c r="G51" s="19" t="s">
        <v>309</v>
      </c>
      <c r="H51" s="19" t="s">
        <v>53</v>
      </c>
      <c r="I51" s="20" t="s">
        <v>54</v>
      </c>
      <c r="J51" s="18" t="s">
        <v>161</v>
      </c>
      <c r="K51" s="19" t="s">
        <v>56</v>
      </c>
    </row>
    <row r="52" customFormat="false" ht="60" hidden="false" customHeight="true" outlineLevel="0" collapsed="false">
      <c r="A52" s="21" t="s">
        <v>310</v>
      </c>
      <c r="B52" s="22" t="s">
        <v>34</v>
      </c>
      <c r="C52" s="22" t="s">
        <v>311</v>
      </c>
      <c r="D52" s="22" t="s">
        <v>56</v>
      </c>
      <c r="E52" s="22" t="s">
        <v>312</v>
      </c>
      <c r="F52" s="22" t="s">
        <v>56</v>
      </c>
      <c r="G52" s="22" t="s">
        <v>313</v>
      </c>
      <c r="H52" s="22" t="s">
        <v>53</v>
      </c>
      <c r="I52" s="20" t="s">
        <v>54</v>
      </c>
      <c r="J52" s="21" t="s">
        <v>161</v>
      </c>
      <c r="K52" s="22" t="s">
        <v>56</v>
      </c>
    </row>
    <row r="53" customFormat="false" ht="60" hidden="false" customHeight="true" outlineLevel="0" collapsed="false">
      <c r="A53" s="18" t="s">
        <v>314</v>
      </c>
      <c r="B53" s="19" t="s">
        <v>35</v>
      </c>
      <c r="C53" s="19" t="s">
        <v>315</v>
      </c>
      <c r="D53" s="19" t="s">
        <v>316</v>
      </c>
      <c r="E53" s="19" t="s">
        <v>317</v>
      </c>
      <c r="F53" s="19" t="s">
        <v>56</v>
      </c>
      <c r="G53" s="19" t="s">
        <v>318</v>
      </c>
      <c r="H53" s="19" t="s">
        <v>53</v>
      </c>
      <c r="I53" s="20" t="s">
        <v>54</v>
      </c>
      <c r="J53" s="18" t="s">
        <v>161</v>
      </c>
      <c r="K53" s="19" t="s">
        <v>56</v>
      </c>
    </row>
  </sheetData>
  <autoFilter ref="A2:K53"/>
  <mergeCells count="1">
    <mergeCell ref="A1:K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2026-08-03T07:29:17Z</dcterms:created>
  <dc:creator>openpyxl</dc:creator>
  <dc:description/>
  <dc:language>en-US</dc:language>
  <cp:lastModifiedBy/>
  <dcterms:modified xsi:type="dcterms:W3CDTF">2026-08-03T07:30:33Z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